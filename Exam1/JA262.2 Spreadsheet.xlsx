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Mean-Variance (Risky Assets)" sheetId="1" r:id="rId1"/>
  </sheets>
  <definedNames>
    <definedName name="solver_adj" localSheetId="0" hidden="1">'Mean-Variance (Risky Assets)'!$D$4:$D$7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'Mean-Variance (Risky Assets)'!$D$10</definedName>
    <definedName name="solver_lhs2" localSheetId="0" hidden="1">'Mean-Variance (Risky Assets)'!$D$8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'Mean-Variance (Risky Assets)'!$D$11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'Mean-Variance (Risky Assets)'!$B$10</definedName>
    <definedName name="solver_rhs2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<sst xmlns="http://schemas.openxmlformats.org/spreadsheetml/2006/main" count="33" uniqueCount="31">
  <si>
    <t>Assets</t>
  </si>
  <si>
    <t>return</t>
  </si>
  <si>
    <t>stdev</t>
  </si>
  <si>
    <t>weights</t>
  </si>
  <si>
    <t>stdev mat</t>
  </si>
  <si>
    <t>unit vec</t>
  </si>
  <si>
    <t>budget</t>
  </si>
  <si>
    <t>covar mat</t>
  </si>
  <si>
    <t>portfolio return (constraint)</t>
  </si>
  <si>
    <t>portfolio return (actual)</t>
  </si>
  <si>
    <t>portfolio stdev</t>
  </si>
  <si>
    <t>A</t>
  </si>
  <si>
    <t>B</t>
  </si>
  <si>
    <t>C</t>
  </si>
  <si>
    <t>correl mat</t>
  </si>
  <si>
    <t>D</t>
  </si>
  <si>
    <t>lambda</t>
  </si>
  <si>
    <t>gamma</t>
  </si>
  <si>
    <r>
      <rPr>
        <sz val="10"/>
        <rFont val="Arial"/>
        <charset val="134"/>
      </rPr>
      <t xml:space="preserve">w </t>
    </r>
    <r>
      <rPr>
        <sz val="10"/>
        <rFont val="宋体"/>
        <charset val="134"/>
      </rPr>
      <t>矩阵</t>
    </r>
  </si>
  <si>
    <t>w*</t>
  </si>
  <si>
    <t>相关系数矩阵</t>
  </si>
  <si>
    <t>var</t>
  </si>
  <si>
    <t>Legend:</t>
  </si>
  <si>
    <t>input cell</t>
  </si>
  <si>
    <t>constraint</t>
  </si>
  <si>
    <t>Covar mat</t>
  </si>
  <si>
    <t>output cell</t>
  </si>
  <si>
    <t>intermediate calculation</t>
  </si>
  <si>
    <t>Covar mat*w</t>
  </si>
  <si>
    <t>w'*Covar mat*w</t>
  </si>
  <si>
    <t>sqrt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</si>
</sst>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0_ "/>
    <numFmt numFmtId="178" formatCode="0.00000"/>
    <numFmt numFmtId="179" formatCode="0.00000000_ "/>
  </numFmts>
  <fonts count="24">
    <font>
      <sz val="10"/>
      <name val="Arial"/>
      <charset val="134"/>
    </font>
    <font>
      <b/>
      <i/>
      <sz val="10"/>
      <name val="Arial"/>
      <charset val="134"/>
    </font>
    <font>
      <sz val="10"/>
      <name val="宋体"/>
      <charset val="134"/>
    </font>
    <font>
      <u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2" borderId="0" xfId="0" applyFill="1"/>
    <xf numFmtId="0" fontId="1" fillId="0" borderId="0" xfId="0" applyFont="1" applyBorder="1" applyAlignment="1">
      <alignment horizontal="center"/>
    </xf>
    <xf numFmtId="9" fontId="0" fillId="3" borderId="0" xfId="0" applyNumberFormat="1" applyFill="1"/>
    <xf numFmtId="10" fontId="0" fillId="4" borderId="0" xfId="3" applyNumberFormat="1" applyFont="1" applyFill="1"/>
    <xf numFmtId="9" fontId="0" fillId="2" borderId="0" xfId="0" applyNumberFormat="1" applyFill="1"/>
    <xf numFmtId="9" fontId="0" fillId="5" borderId="0" xfId="3" applyFont="1" applyFill="1"/>
    <xf numFmtId="0" fontId="0" fillId="0" borderId="0" xfId="0" applyFont="1"/>
    <xf numFmtId="10" fontId="0" fillId="5" borderId="0" xfId="0" applyNumberFormat="1" applyFill="1"/>
    <xf numFmtId="176" fontId="0" fillId="0" borderId="0" xfId="0" applyNumberFormat="1"/>
    <xf numFmtId="177" fontId="0" fillId="0" borderId="0" xfId="0" applyNumberFormat="1"/>
    <xf numFmtId="0" fontId="0" fillId="3" borderId="0" xfId="0" applyFill="1"/>
    <xf numFmtId="178" fontId="0" fillId="2" borderId="0" xfId="0" applyNumberFormat="1" applyFill="1"/>
    <xf numFmtId="9" fontId="0" fillId="0" borderId="0" xfId="0" applyNumberFormat="1"/>
    <xf numFmtId="0" fontId="2" fillId="0" borderId="0" xfId="0" applyFont="1"/>
    <xf numFmtId="179" fontId="0" fillId="2" borderId="0" xfId="0" applyNumberFormat="1" applyFill="1"/>
    <xf numFmtId="0" fontId="3" fillId="0" borderId="0" xfId="0" applyFont="1"/>
    <xf numFmtId="0" fontId="0" fillId="3" borderId="0" xfId="0" applyFont="1" applyFill="1"/>
    <xf numFmtId="0" fontId="0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7"/>
  <sheetViews>
    <sheetView tabSelected="1" workbookViewId="0">
      <selection activeCell="J34" sqref="J34"/>
    </sheetView>
  </sheetViews>
  <sheetFormatPr defaultColWidth="8.82857142857143" defaultRowHeight="12.75"/>
  <cols>
    <col min="1" max="1" width="21.6666666666667" customWidth="1"/>
    <col min="2" max="2" width="12.8285714285714" customWidth="1"/>
    <col min="5" max="5" width="18.6666666666667" customWidth="1"/>
    <col min="6" max="6" width="9" customWidth="1"/>
    <col min="7" max="7" width="8.66666666666667" style="1" customWidth="1"/>
    <col min="8" max="8" width="13.2857142857143" style="1" customWidth="1"/>
    <col min="9" max="13" width="8.66666666666667" style="1" customWidth="1"/>
    <col min="14" max="14" width="10.2857142857143" customWidth="1"/>
    <col min="15" max="15" width="10.7142857142857" customWidth="1"/>
    <col min="16" max="16" width="11.2857142857143" customWidth="1"/>
    <col min="17" max="17" width="11" customWidth="1"/>
    <col min="19" max="19" width="12.8571428571429"/>
    <col min="20" max="22" width="9.71428571428571"/>
  </cols>
  <sheetData>
    <row r="1" spans="1:22">
      <c r="B1" s="2" t="s">
        <v>0</v>
      </c>
      <c r="C1" s="2"/>
      <c r="D1" s="2"/>
    </row>
    <row r="2" spans="1:22">
      <c r="B2" t="s">
        <v>1</v>
      </c>
      <c r="C2" t="s">
        <v>2</v>
      </c>
      <c r="D2" t="s">
        <v>3</v>
      </c>
    </row>
    <row r="3" spans="1:22">
      <c r="G3" s="1" t="s">
        <v>4</v>
      </c>
      <c r="H3" s="1">
        <v>1</v>
      </c>
      <c r="I3" s="1">
        <v>2</v>
      </c>
      <c r="J3" s="1">
        <v>3</v>
      </c>
      <c r="K3" s="1">
        <v>4</v>
      </c>
      <c r="M3" s="1" t="s">
        <v>5</v>
      </c>
    </row>
    <row r="4" spans="1:22">
      <c r="A4">
        <v>1</v>
      </c>
      <c r="B4" s="3">
        <v>0.02</v>
      </c>
      <c r="C4" s="3">
        <v>0.05</v>
      </c>
      <c r="D4" s="4">
        <v>0.562145064357444</v>
      </c>
      <c r="G4" s="1">
        <v>1</v>
      </c>
      <c r="H4" s="5">
        <f>$C4</f>
        <v>0.05</v>
      </c>
      <c r="I4" s="1">
        <v>0</v>
      </c>
      <c r="J4" s="1">
        <v>0</v>
      </c>
      <c r="K4" s="1">
        <v>0</v>
      </c>
      <c r="M4" s="1">
        <v>1</v>
      </c>
    </row>
    <row r="5" spans="1:22">
      <c r="A5">
        <v>2</v>
      </c>
      <c r="B5" s="3">
        <v>0.07</v>
      </c>
      <c r="C5" s="3">
        <v>0.12</v>
      </c>
      <c r="D5" s="4">
        <v>0.120147279581244</v>
      </c>
      <c r="G5" s="1">
        <v>2</v>
      </c>
      <c r="H5" s="1">
        <v>0</v>
      </c>
      <c r="I5" s="5">
        <f>$C5</f>
        <v>0.12</v>
      </c>
      <c r="J5" s="1">
        <v>0</v>
      </c>
      <c r="K5" s="1">
        <v>0</v>
      </c>
      <c r="M5" s="1">
        <v>1</v>
      </c>
    </row>
    <row r="6" spans="1:22">
      <c r="A6">
        <v>3</v>
      </c>
      <c r="B6" s="3">
        <v>0.15</v>
      </c>
      <c r="C6" s="3">
        <v>0.17</v>
      </c>
      <c r="D6" s="4">
        <v>0.154782710550225</v>
      </c>
      <c r="G6" s="1">
        <v>3</v>
      </c>
      <c r="H6" s="1">
        <v>0</v>
      </c>
      <c r="I6" s="1">
        <v>0</v>
      </c>
      <c r="J6" s="5">
        <f>$C6</f>
        <v>0.17</v>
      </c>
      <c r="K6" s="1">
        <v>0</v>
      </c>
      <c r="M6" s="1">
        <v>1</v>
      </c>
    </row>
    <row r="7" spans="1:22">
      <c r="A7">
        <v>4</v>
      </c>
      <c r="B7" s="3">
        <v>0.2</v>
      </c>
      <c r="C7" s="3">
        <v>0.25</v>
      </c>
      <c r="D7" s="4">
        <v>0.162924945511087</v>
      </c>
      <c r="G7" s="1">
        <v>4</v>
      </c>
      <c r="H7" s="1">
        <v>0</v>
      </c>
      <c r="I7" s="1">
        <v>0</v>
      </c>
      <c r="J7" s="1">
        <v>0</v>
      </c>
      <c r="K7" s="5">
        <f>$C7</f>
        <v>0.25</v>
      </c>
      <c r="M7" s="1">
        <v>1</v>
      </c>
    </row>
    <row r="8" spans="1:22">
      <c r="A8" t="s">
        <v>6</v>
      </c>
      <c r="D8" s="6">
        <f>SUM(D4:D7)</f>
        <v>1</v>
      </c>
    </row>
    <row r="9" spans="1:22">
      <c r="G9" s="1" t="s">
        <v>7</v>
      </c>
      <c r="H9" s="1">
        <v>1</v>
      </c>
      <c r="I9" s="1">
        <v>2</v>
      </c>
      <c r="J9" s="1">
        <v>3</v>
      </c>
      <c r="K9" s="1">
        <v>4</v>
      </c>
    </row>
    <row r="10" spans="1:22">
      <c r="A10" s="7" t="s">
        <v>8</v>
      </c>
      <c r="B10" s="8">
        <v>0.045</v>
      </c>
      <c r="D10" s="4">
        <f t="array" ref="D10">MMULT(TRANSPOSE(D4:D7),B4:B7)</f>
        <v>0.0754556065425871</v>
      </c>
      <c r="E10" s="7" t="s">
        <v>9</v>
      </c>
      <c r="G10" s="1">
        <v>1</v>
      </c>
      <c r="H10" s="1">
        <f t="array" ref="H10:K13">MMULT(H4:K7,MMULT(B20:E23,H4:K7))</f>
        <v>0.0025</v>
      </c>
      <c r="I10" s="1">
        <v>0.0018</v>
      </c>
      <c r="J10" s="1">
        <v>0.00255</v>
      </c>
      <c r="K10" s="1">
        <v>0.00375</v>
      </c>
      <c r="N10" s="9" cm="1">
        <f t="array" ref="N10:Q13">MINVERSE(H10:K13)</f>
        <v>455.958549222798</v>
      </c>
      <c r="O10" s="9">
        <v>-25.9067357512953</v>
      </c>
      <c r="P10" s="9">
        <v>-18.2871075891496</v>
      </c>
      <c r="Q10" s="9">
        <v>-12.4352331606218</v>
      </c>
      <c r="S10" s="10" cm="1">
        <f t="array" ref="S10:V13">MMULT(H10:K13,N10:Q13)</f>
        <v>1</v>
      </c>
      <c r="T10" s="10">
        <v>1.94289029309402e-16</v>
      </c>
      <c r="U10" s="10">
        <v>3.46944695195361e-17</v>
      </c>
      <c r="V10" s="10">
        <v>0</v>
      </c>
    </row>
    <row r="11" spans="1:22">
      <c r="D11" s="4">
        <f t="array" ref="D11">SQRT(MMULT(TRANSPOSE(D4:D7),MMULT(H10:K13,D4:D7)))</f>
        <v>0.0846709198558067</v>
      </c>
      <c r="E11" t="s">
        <v>10</v>
      </c>
      <c r="G11" s="1">
        <v>2</v>
      </c>
      <c r="H11" s="1">
        <v>0.0018</v>
      </c>
      <c r="I11" s="1">
        <v>0.0144</v>
      </c>
      <c r="J11" s="1">
        <v>0.01224</v>
      </c>
      <c r="K11" s="1">
        <v>0.018</v>
      </c>
      <c r="N11" s="9">
        <v>-25.9067357512953</v>
      </c>
      <c r="O11" s="9">
        <v>127.734599884859</v>
      </c>
      <c r="P11" s="9">
        <v>-32.3834196891192</v>
      </c>
      <c r="Q11" s="9">
        <v>-22.020725388601</v>
      </c>
      <c r="S11" s="10">
        <v>5.82867087928207e-16</v>
      </c>
      <c r="T11" s="10">
        <v>1</v>
      </c>
      <c r="U11" s="10">
        <v>-6.10622663543836e-16</v>
      </c>
      <c r="V11" s="10">
        <v>0</v>
      </c>
    </row>
    <row r="12" spans="1:22">
      <c r="G12" s="1">
        <v>3</v>
      </c>
      <c r="H12" s="1">
        <v>0.00255</v>
      </c>
      <c r="I12" s="1">
        <v>0.01224</v>
      </c>
      <c r="J12" s="1">
        <v>0.0289</v>
      </c>
      <c r="K12" s="1">
        <v>0.0255</v>
      </c>
      <c r="N12" s="9">
        <v>-18.2871075891496</v>
      </c>
      <c r="O12" s="9">
        <v>-32.3834196891192</v>
      </c>
      <c r="P12" s="9">
        <v>63.6463058249816</v>
      </c>
      <c r="Q12" s="9">
        <v>-15.5440414507772</v>
      </c>
      <c r="S12" s="10">
        <v>1.11022302462516e-15</v>
      </c>
      <c r="T12" s="10">
        <v>5.55111512312578e-16</v>
      </c>
      <c r="U12" s="10">
        <v>0.999999999999999</v>
      </c>
      <c r="V12" s="10">
        <v>0</v>
      </c>
    </row>
    <row r="13" spans="1:22">
      <c r="G13" s="1">
        <v>4</v>
      </c>
      <c r="H13" s="1">
        <v>0.00375</v>
      </c>
      <c r="I13" s="1">
        <v>0.018</v>
      </c>
      <c r="J13" s="1">
        <v>0.0255</v>
      </c>
      <c r="K13" s="1">
        <v>0.0625</v>
      </c>
      <c r="N13" s="9">
        <v>-12.4352331606218</v>
      </c>
      <c r="O13" s="9">
        <v>-22.020725388601</v>
      </c>
      <c r="P13" s="9">
        <v>-15.5440414507772</v>
      </c>
      <c r="Q13" s="9">
        <v>29.4300518134715</v>
      </c>
      <c r="S13" s="10">
        <v>0</v>
      </c>
      <c r="T13" s="10">
        <v>2.22044604925031e-15</v>
      </c>
      <c r="U13" s="10">
        <v>-7.7715611723761e-16</v>
      </c>
      <c r="V13" s="10">
        <v>1</v>
      </c>
    </row>
    <row r="16" spans="1:22">
      <c r="G16" s="1" t="s">
        <v>11</v>
      </c>
      <c r="H16" s="1">
        <f t="array" ref="H16">MMULT(TRANSPOSE(M4:M7),MMULT(MINVERSE(H10:K13),M4:M7))</f>
        <v>423.614980686982</v>
      </c>
    </row>
    <row r="17" spans="1:18">
      <c r="G17" s="1" t="s">
        <v>12</v>
      </c>
      <c r="H17" s="1">
        <f t="array" ref="H17">MMULT(TRANSPOSE(B4:B7),MMULT(MINVERSE(H10:K13),M4:M7))</f>
        <v>6.8070207154283</v>
      </c>
    </row>
    <row r="18" spans="1:18">
      <c r="G18" s="1" t="s">
        <v>13</v>
      </c>
      <c r="H18" s="1">
        <f t="array" ref="H18">MMULT(TRANSPOSE(B4:B7),MMULT(MINVERSE(H10:K13),B4:B7))</f>
        <v>0.906508930403412</v>
      </c>
    </row>
    <row r="19" spans="1:18">
      <c r="A19" t="s">
        <v>14</v>
      </c>
      <c r="B19">
        <v>1</v>
      </c>
      <c r="C19">
        <v>2</v>
      </c>
      <c r="D19">
        <v>3</v>
      </c>
      <c r="E19">
        <v>4</v>
      </c>
      <c r="G19" s="1" t="s">
        <v>15</v>
      </c>
      <c r="H19" s="1">
        <f>H16*H18-H17*H17</f>
        <v>337.675232025148</v>
      </c>
    </row>
    <row r="20" spans="1:18">
      <c r="A20">
        <v>1</v>
      </c>
      <c r="B20" s="11">
        <v>1</v>
      </c>
      <c r="C20" s="11">
        <v>0.3</v>
      </c>
      <c r="D20" s="11">
        <v>0.3</v>
      </c>
      <c r="E20" s="11">
        <v>0.3</v>
      </c>
      <c r="G20" s="1" t="s">
        <v>16</v>
      </c>
      <c r="H20" s="12">
        <f>(H16*B10-H17)/(H16*H18-H17^2)</f>
        <v>0.0362942029890222</v>
      </c>
    </row>
    <row r="21" spans="1:18">
      <c r="A21">
        <v>2</v>
      </c>
      <c r="B21" s="11">
        <v>0.3</v>
      </c>
      <c r="C21" s="11">
        <v>1</v>
      </c>
      <c r="D21" s="11">
        <v>0.6</v>
      </c>
      <c r="E21" s="11">
        <v>0.6</v>
      </c>
      <c r="G21" s="1" t="s">
        <v>17</v>
      </c>
      <c r="H21" s="12">
        <f>(H18-H17*B10)/(H16*H18-H17^2)</f>
        <v>0.00177742677367714</v>
      </c>
      <c r="P21" s="7" t="s">
        <v>18</v>
      </c>
    </row>
    <row r="22" spans="1:18">
      <c r="A22">
        <v>3</v>
      </c>
      <c r="B22" s="11">
        <v>0.3</v>
      </c>
      <c r="C22" s="11">
        <v>0.6</v>
      </c>
      <c r="D22" s="11">
        <v>1</v>
      </c>
      <c r="E22" s="11">
        <v>0.6</v>
      </c>
      <c r="P22" s="13">
        <v>0.5</v>
      </c>
    </row>
    <row r="23" spans="1:18">
      <c r="A23">
        <v>4</v>
      </c>
      <c r="B23" s="11">
        <v>0.3</v>
      </c>
      <c r="C23" s="11">
        <v>0.6</v>
      </c>
      <c r="D23" s="11">
        <v>0.6</v>
      </c>
      <c r="E23" s="11">
        <v>1</v>
      </c>
      <c r="G23" s="1" t="s">
        <v>19</v>
      </c>
      <c r="H23" s="1">
        <f t="array" ref="H23:H26">MMULT(MINVERSE(H10:K13),(H20*B4:B7+H21*M4:M7))</f>
        <v>0.785110661757705</v>
      </c>
      <c r="P23" s="13">
        <v>0.2</v>
      </c>
    </row>
    <row r="24" spans="1:18">
      <c r="H24" s="1">
        <v>0.0538641896251532</v>
      </c>
      <c r="P24" s="13">
        <v>0.3</v>
      </c>
    </row>
    <row r="25" spans="1:18">
      <c r="H25" s="1">
        <v>0.133554724646863</v>
      </c>
    </row>
    <row r="26" spans="1:18">
      <c r="H26" s="1">
        <v>0.0274704239702788</v>
      </c>
      <c r="P26" s="14" t="s">
        <v>20</v>
      </c>
    </row>
    <row r="27" spans="1:18">
      <c r="P27" s="11">
        <v>1</v>
      </c>
      <c r="Q27" s="11">
        <v>0.8</v>
      </c>
      <c r="R27" s="11">
        <v>0.5</v>
      </c>
    </row>
    <row r="28" spans="1:18">
      <c r="G28" s="1" t="s">
        <v>21</v>
      </c>
      <c r="H28" s="15" cm="1">
        <f t="array" ref="H28">MMULT(MMULT(TRANSPOSE(B4:B7),H10:K13),B4:B7)</f>
        <v>0.00556319</v>
      </c>
      <c r="P28" s="11">
        <v>0.8</v>
      </c>
      <c r="Q28" s="11">
        <v>1</v>
      </c>
      <c r="R28" s="11">
        <v>0.3</v>
      </c>
    </row>
    <row r="29" spans="1:18">
      <c r="G29" s="1" t="s">
        <v>2</v>
      </c>
      <c r="H29" s="15">
        <f>SQRT(H28)</f>
        <v>0.0745867950779493</v>
      </c>
      <c r="P29" s="11">
        <v>0.5</v>
      </c>
      <c r="Q29" s="11">
        <v>0.3</v>
      </c>
      <c r="R29" s="11">
        <v>1</v>
      </c>
    </row>
    <row r="32" spans="1:18">
      <c r="P32" t="s">
        <v>4</v>
      </c>
    </row>
    <row r="33" spans="1:18">
      <c r="P33">
        <v>0.3</v>
      </c>
      <c r="Q33">
        <v>0</v>
      </c>
      <c r="R33">
        <v>0</v>
      </c>
    </row>
    <row r="34" spans="1:18">
      <c r="A34" s="16" t="s">
        <v>22</v>
      </c>
      <c r="P34">
        <v>0</v>
      </c>
      <c r="Q34">
        <v>0.2</v>
      </c>
      <c r="R34">
        <v>0</v>
      </c>
    </row>
    <row r="35" ht="12" customHeight="1" spans="1:18">
      <c r="P35">
        <v>0</v>
      </c>
      <c r="Q35">
        <v>0</v>
      </c>
      <c r="R35">
        <v>0.15</v>
      </c>
    </row>
    <row r="36" spans="1:18">
      <c r="A36" s="17" t="s">
        <v>23</v>
      </c>
    </row>
    <row r="37" spans="1:18">
      <c r="A37" s="6" t="s">
        <v>24</v>
      </c>
      <c r="P37" t="s">
        <v>25</v>
      </c>
    </row>
    <row r="38" spans="1:18">
      <c r="A38" s="4" t="s">
        <v>26</v>
      </c>
      <c r="P38" cm="1">
        <f t="array" ref="P38:R40">MMULT(P33:R35,MMULT(P27:R29,P33:R35))</f>
        <v>0.09</v>
      </c>
      <c r="Q38">
        <v>0.048</v>
      </c>
      <c r="R38">
        <v>0.0225</v>
      </c>
    </row>
    <row r="39" spans="1:18">
      <c r="A39" s="18" t="s">
        <v>27</v>
      </c>
      <c r="P39">
        <v>0.048</v>
      </c>
      <c r="Q39">
        <v>0.04</v>
      </c>
      <c r="R39">
        <v>0.009</v>
      </c>
    </row>
    <row r="40" spans="1:18">
      <c r="P40">
        <v>0.0225</v>
      </c>
      <c r="Q40">
        <v>0.009</v>
      </c>
      <c r="R40">
        <v>0.0225</v>
      </c>
    </row>
    <row r="42" spans="1:18">
      <c r="P42" t="s">
        <v>28</v>
      </c>
    </row>
    <row r="43" spans="1:18">
      <c r="P43" cm="1">
        <f t="array" ref="P43:P45">MMULT(P38:R40,P22:P24)</f>
        <v>0.06135</v>
      </c>
    </row>
    <row r="44" spans="1:18">
      <c r="P44">
        <v>0.0347</v>
      </c>
    </row>
    <row r="45" spans="1:18">
      <c r="P45">
        <v>0.0198</v>
      </c>
    </row>
    <row r="48" spans="1:18">
      <c r="P48" t="s">
        <v>29</v>
      </c>
    </row>
    <row r="49" spans="16:16">
      <c r="P49" cm="1">
        <f t="array" ref="P49">MMULT(TRANSPOSE(P22:P24),MMULT(P38:R40,P22:P24))</f>
        <v>0.043555</v>
      </c>
    </row>
    <row r="51" spans="16:16">
      <c r="P51" t="s">
        <v>30</v>
      </c>
    </row>
    <row r="52" spans="16:16">
      <c r="P52">
        <f>SQRT(P49)</f>
        <v>0.208698346902892</v>
      </c>
    </row>
    <row r="55" spans="16:16">
      <c r="P55">
        <f>-2.326*P43/P52</f>
        <v>-0.68376248359264</v>
      </c>
    </row>
    <row r="56" spans="16:16">
      <c r="P56">
        <f>-2.326*P44/P52</f>
        <v>-0.38674096464001</v>
      </c>
    </row>
    <row r="57" spans="16:16">
      <c r="P57">
        <f>-2.326*P45/P52</f>
        <v>-0.220676400572686</v>
      </c>
    </row>
  </sheetData>
  <mergeCells count="1">
    <mergeCell ref="B1:D1"/>
  </mergeCells>
  <pageMargins left="0.7" right="0.7" top="0.75" bottom="0.75" header="0.5" footer="0.5"/>
  <pageSetup paperSize="9" orientation="portrait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Imperial College of Science, Technology and Medicine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Mean-Variance (Risky Assets)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LLeo</dc:creator>
  <cp:lastModifiedBy>梵·尼古拉斯·纯洁</cp:lastModifiedBy>
  <dcterms:created xsi:type="dcterms:W3CDTF">2005-09-09T13:48:00Z</dcterms:created>
  <dcterms:modified xsi:type="dcterms:W3CDTF">2026-03-17T13:01:37Z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E0B1EF99D54D4C72B5E88025475775CB_12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